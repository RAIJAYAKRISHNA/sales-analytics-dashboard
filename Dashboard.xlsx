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JayaKrishna\JayaKrishnaDoc\EXCEL PROJECT\sales-analytics-dashboard\"/>
    </mc:Choice>
  </mc:AlternateContent>
  <xr:revisionPtr revIDLastSave="0" documentId="8_{EACC6C86-1127-4130-BD1B-4AD7B011787D}" xr6:coauthVersionLast="47" xr6:coauthVersionMax="47" xr10:uidLastSave="{00000000-0000-0000-0000-000000000000}"/>
  <bookViews>
    <workbookView xWindow="-108" yWindow="-108" windowWidth="23256" windowHeight="12456" activeTab="4" xr2:uid="{795CF8FE-129B-4571-9BE9-24E84FB721C7}"/>
  </bookViews>
  <sheets>
    <sheet name="TotalSales" sheetId="1" r:id="rId1"/>
    <sheet name="TotalSalesByCategory" sheetId="2" r:id="rId2"/>
    <sheet name="MonthlySales" sheetId="4" r:id="rId3"/>
    <sheet name="Top5Customers" sheetId="3" r:id="rId4"/>
    <sheet name="Dashboard" sheetId="6" r:id="rId5"/>
  </sheets>
  <definedNames>
    <definedName name="Slicer_Category">#N/A</definedName>
    <definedName name="Slicer_MonthName">#N/A</definedName>
  </definedNames>
  <calcPr calcId="0"/>
  <pivotCaches>
    <pivotCache cacheId="3" r:id="rId6"/>
    <pivotCache cacheId="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4" i="1" l="1"/>
  <c r="C7" i="3"/>
</calcChain>
</file>

<file path=xl/sharedStrings.xml><?xml version="1.0" encoding="utf-8"?>
<sst xmlns="http://schemas.openxmlformats.org/spreadsheetml/2006/main" count="32" uniqueCount="24">
  <si>
    <t>Category</t>
  </si>
  <si>
    <t>TotalSales</t>
  </si>
  <si>
    <t>Electronics</t>
  </si>
  <si>
    <t>Furniture</t>
  </si>
  <si>
    <t>CustomerName</t>
  </si>
  <si>
    <t>Rahul</t>
  </si>
  <si>
    <t>CustomerID</t>
  </si>
  <si>
    <t>TotalSpent</t>
  </si>
  <si>
    <t>Ravi</t>
  </si>
  <si>
    <t>Priya</t>
  </si>
  <si>
    <t>Arjun</t>
  </si>
  <si>
    <t>Sneha</t>
  </si>
  <si>
    <t>MonthName</t>
  </si>
  <si>
    <t>MonthlySales</t>
  </si>
  <si>
    <t>February</t>
  </si>
  <si>
    <t>January</t>
  </si>
  <si>
    <t>March</t>
  </si>
  <si>
    <t>Row Labels</t>
  </si>
  <si>
    <t>Grand Total</t>
  </si>
  <si>
    <t>Sum of TotalSales</t>
  </si>
  <si>
    <r>
      <rPr>
        <b/>
        <sz val="22"/>
        <color rgb="FFFF0000"/>
        <rFont val="Aptos Narrow"/>
        <family val="2"/>
        <scheme val="minor"/>
      </rPr>
      <t>Average Order Value</t>
    </r>
    <r>
      <rPr>
        <b/>
        <sz val="22"/>
        <color theme="1"/>
        <rFont val="Aptos Narrow"/>
        <family val="2"/>
        <scheme val="minor"/>
      </rPr>
      <t xml:space="preserve">
</t>
    </r>
    <r>
      <rPr>
        <b/>
        <sz val="22"/>
        <color theme="6"/>
        <rFont val="Aptos Narrow"/>
        <family val="2"/>
      </rPr>
      <t>₹</t>
    </r>
    <r>
      <rPr>
        <b/>
        <sz val="22"/>
        <color theme="6"/>
        <rFont val="Aptos Narrow"/>
        <family val="2"/>
        <scheme val="minor"/>
      </rPr>
      <t>16,915</t>
    </r>
  </si>
  <si>
    <r>
      <t xml:space="preserve">Total Sales
</t>
    </r>
    <r>
      <rPr>
        <b/>
        <sz val="24"/>
        <color theme="6"/>
        <rFont val="Aptos Narrow"/>
        <family val="2"/>
      </rPr>
      <t>₹338,300</t>
    </r>
  </si>
  <si>
    <t>Sum of MonthlySales</t>
  </si>
  <si>
    <r>
      <rPr>
        <b/>
        <sz val="22"/>
        <color rgb="FFFF0000"/>
        <rFont val="Aptos Narrow"/>
        <family val="2"/>
        <scheme val="minor"/>
      </rPr>
      <t>Top Customer : Rahul</t>
    </r>
    <r>
      <rPr>
        <b/>
        <sz val="20"/>
        <color theme="1"/>
        <rFont val="Aptos Narrow"/>
        <family val="2"/>
        <scheme val="minor"/>
      </rPr>
      <t xml:space="preserve">
</t>
    </r>
    <r>
      <rPr>
        <b/>
        <sz val="22"/>
        <color theme="6"/>
        <rFont val="Aptos Narrow"/>
        <family val="2"/>
      </rPr>
      <t>₹</t>
    </r>
    <r>
      <rPr>
        <b/>
        <sz val="22"/>
        <color theme="6"/>
        <rFont val="Aptos Narrow"/>
        <family val="2"/>
        <scheme val="minor"/>
      </rPr>
      <t>72,000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</si>
</sst>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b/>
      <sz val="22"/>
      <color theme="1"/>
      <name val="Aptos Narrow"/>
      <family val="2"/>
      <scheme val="minor"/>
    </font>
    <font>
      <b/>
      <sz val="24"/>
      <color rgb="FFFF0000"/>
      <name val="Aptos Narrow"/>
      <family val="2"/>
      <scheme val="minor"/>
    </font>
    <font>
      <b/>
      <sz val="22"/>
      <color rgb="FFFF0000"/>
      <name val="Aptos Narrow"/>
      <family val="2"/>
      <scheme val="minor"/>
    </font>
    <font>
      <b/>
      <sz val="22"/>
      <color theme="6"/>
      <name val="Aptos Narrow"/>
      <family val="2"/>
    </font>
    <font>
      <b/>
      <sz val="22"/>
      <color theme="6"/>
      <name val="Aptos Narrow"/>
      <family val="2"/>
      <scheme val="minor"/>
    </font>
    <font>
      <b/>
      <sz val="24"/>
      <color theme="6"/>
      <name val="Aptos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xf>
    <xf numFmtId="0" fontId="0" fillId="0" borderId="10" xfId="0"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20" fillId="33" borderId="0" xfId="0" applyFont="1" applyFill="1" applyAlignment="1">
      <alignment horizontal="center" wrapText="1"/>
    </xf>
    <xf numFmtId="0" fontId="18" fillId="33" borderId="0" xfId="0" applyFont="1" applyFill="1" applyAlignment="1">
      <alignment horizontal="center" wrapText="1"/>
    </xf>
    <xf numFmtId="0" fontId="19" fillId="33"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Total</c:v>
                </c:pt>
              </c:strCache>
            </c:strRef>
          </c:tx>
          <c:spPr>
            <a:solidFill>
              <a:schemeClr val="accent1"/>
            </a:solidFill>
            <a:ln>
              <a:noFill/>
            </a:ln>
            <a:effectLst/>
          </c:spPr>
          <c:invertIfNegative val="0"/>
          <c:cat>
            <c:strRef>
              <c:f>Dashboard!$A$4:$A$6</c:f>
              <c:strCache>
                <c:ptCount val="2"/>
                <c:pt idx="0">
                  <c:v>Electronics</c:v>
                </c:pt>
                <c:pt idx="1">
                  <c:v>Furniture</c:v>
                </c:pt>
              </c:strCache>
            </c:strRef>
          </c:cat>
          <c:val>
            <c:numRef>
              <c:f>Dashboard!$B$4:$B$6</c:f>
              <c:numCache>
                <c:formatCode>General</c:formatCode>
                <c:ptCount val="2"/>
                <c:pt idx="0">
                  <c:v>280300</c:v>
                </c:pt>
                <c:pt idx="1">
                  <c:v>58000</c:v>
                </c:pt>
              </c:numCache>
            </c:numRef>
          </c:val>
          <c:extLst>
            <c:ext xmlns:c16="http://schemas.microsoft.com/office/drawing/2014/chart" uri="{C3380CC4-5D6E-409C-BE32-E72D297353CC}">
              <c16:uniqueId val="{00000000-E81F-438E-A087-59348D01209A}"/>
            </c:ext>
          </c:extLst>
        </c:ser>
        <c:dLbls>
          <c:showLegendKey val="0"/>
          <c:showVal val="0"/>
          <c:showCatName val="0"/>
          <c:showSerName val="0"/>
          <c:showPercent val="0"/>
          <c:showBubbleSize val="0"/>
        </c:dLbls>
        <c:gapWidth val="219"/>
        <c:overlap val="-27"/>
        <c:axId val="405227759"/>
        <c:axId val="405232559"/>
      </c:barChart>
      <c:catAx>
        <c:axId val="40522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232559"/>
        <c:crosses val="autoZero"/>
        <c:auto val="1"/>
        <c:lblAlgn val="ctr"/>
        <c:lblOffset val="100"/>
        <c:noMultiLvlLbl val="0"/>
      </c:catAx>
      <c:valAx>
        <c:axId val="40523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22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Dashboard!$B$14</c:f>
              <c:strCache>
                <c:ptCount val="1"/>
                <c:pt idx="0">
                  <c:v>Total</c:v>
                </c:pt>
              </c:strCache>
            </c:strRef>
          </c:tx>
          <c:spPr>
            <a:solidFill>
              <a:schemeClr val="accent1"/>
            </a:solidFill>
            <a:ln>
              <a:noFill/>
            </a:ln>
            <a:effectLst/>
          </c:spPr>
          <c:invertIfNegative val="0"/>
          <c:cat>
            <c:strRef>
              <c:f>Dashboard!$A$15:$A$18</c:f>
              <c:strCache>
                <c:ptCount val="3"/>
                <c:pt idx="0">
                  <c:v>January</c:v>
                </c:pt>
                <c:pt idx="1">
                  <c:v>February</c:v>
                </c:pt>
                <c:pt idx="2">
                  <c:v>March</c:v>
                </c:pt>
              </c:strCache>
            </c:strRef>
          </c:cat>
          <c:val>
            <c:numRef>
              <c:f>Dashboard!$B$15:$B$18</c:f>
              <c:numCache>
                <c:formatCode>General</c:formatCode>
                <c:ptCount val="3"/>
                <c:pt idx="0">
                  <c:v>114100</c:v>
                </c:pt>
                <c:pt idx="1">
                  <c:v>152200</c:v>
                </c:pt>
                <c:pt idx="2">
                  <c:v>72000</c:v>
                </c:pt>
              </c:numCache>
            </c:numRef>
          </c:val>
          <c:extLst>
            <c:ext xmlns:c16="http://schemas.microsoft.com/office/drawing/2014/chart" uri="{C3380CC4-5D6E-409C-BE32-E72D297353CC}">
              <c16:uniqueId val="{00000000-50FE-4ADD-A0EF-87E158DFD147}"/>
            </c:ext>
          </c:extLst>
        </c:ser>
        <c:dLbls>
          <c:showLegendKey val="0"/>
          <c:showVal val="0"/>
          <c:showCatName val="0"/>
          <c:showSerName val="0"/>
          <c:showPercent val="0"/>
          <c:showBubbleSize val="0"/>
        </c:dLbls>
        <c:gapWidth val="219"/>
        <c:overlap val="-27"/>
        <c:axId val="591961247"/>
        <c:axId val="591959327"/>
      </c:barChart>
      <c:catAx>
        <c:axId val="59196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59327"/>
        <c:crosses val="autoZero"/>
        <c:auto val="1"/>
        <c:lblAlgn val="ctr"/>
        <c:lblOffset val="100"/>
        <c:noMultiLvlLbl val="0"/>
      </c:catAx>
      <c:valAx>
        <c:axId val="591959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9612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30480</xdr:colOff>
      <xdr:row>6</xdr:row>
      <xdr:rowOff>0</xdr:rowOff>
    </xdr:from>
    <xdr:to>
      <xdr:col>10</xdr:col>
      <xdr:colOff>121920</xdr:colOff>
      <xdr:row>21</xdr:row>
      <xdr:rowOff>22860</xdr:rowOff>
    </xdr:to>
    <xdr:graphicFrame macro="">
      <xdr:nvGraphicFramePr>
        <xdr:cNvPr id="2" name="Chart 1">
          <a:extLst>
            <a:ext uri="{FF2B5EF4-FFF2-40B4-BE49-F238E27FC236}">
              <a16:creationId xmlns:a16="http://schemas.microsoft.com/office/drawing/2014/main" id="{F2071F14-27BE-92CB-216D-606F31DE5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342900</xdr:colOff>
      <xdr:row>6</xdr:row>
      <xdr:rowOff>60961</xdr:rowOff>
    </xdr:from>
    <xdr:to>
      <xdr:col>3</xdr:col>
      <xdr:colOff>342900</xdr:colOff>
      <xdr:row>11</xdr:row>
      <xdr:rowOff>152401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82FBB485-DA71-6248-58FF-1E207FF1353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42900" y="1158241"/>
              <a:ext cx="272034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160020</xdr:colOff>
      <xdr:row>6</xdr:row>
      <xdr:rowOff>7620</xdr:rowOff>
    </xdr:from>
    <xdr:to>
      <xdr:col>16</xdr:col>
      <xdr:colOff>586740</xdr:colOff>
      <xdr:row>21</xdr:row>
      <xdr:rowOff>7620</xdr:rowOff>
    </xdr:to>
    <xdr:graphicFrame macro="">
      <xdr:nvGraphicFramePr>
        <xdr:cNvPr id="4" name="Chart 3">
          <a:extLst>
            <a:ext uri="{FF2B5EF4-FFF2-40B4-BE49-F238E27FC236}">
              <a16:creationId xmlns:a16="http://schemas.microsoft.com/office/drawing/2014/main" id="{46053B16-9E85-F37E-6549-862A7C960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68580</xdr:colOff>
      <xdr:row>5</xdr:row>
      <xdr:rowOff>68580</xdr:rowOff>
    </xdr:from>
    <xdr:to>
      <xdr:col>21</xdr:col>
      <xdr:colOff>220980</xdr:colOff>
      <xdr:row>12</xdr:row>
      <xdr:rowOff>144780</xdr:rowOff>
    </xdr:to>
    <mc:AlternateContent xmlns:mc="http://schemas.openxmlformats.org/markup-compatibility/2006">
      <mc:Choice xmlns:a14="http://schemas.microsoft.com/office/drawing/2010/main" Requires="a14">
        <xdr:graphicFrame macro="">
          <xdr:nvGraphicFramePr>
            <xdr:cNvPr id="5" name="MonthName">
              <a:extLst>
                <a:ext uri="{FF2B5EF4-FFF2-40B4-BE49-F238E27FC236}">
                  <a16:creationId xmlns:a16="http://schemas.microsoft.com/office/drawing/2014/main" id="{EAFB2BC0-A4BC-4515-A09F-333BFDB90290}"/>
                </a:ext>
              </a:extLst>
            </xdr:cNvPr>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dr:sp macro="" textlink="">
          <xdr:nvSpPr>
            <xdr:cNvPr id="0" name=""/>
            <xdr:cNvSpPr>
              <a:spLocks noTextEdit="1"/>
            </xdr:cNvSpPr>
          </xdr:nvSpPr>
          <xdr:spPr>
            <a:xfrm>
              <a:off x="11323320" y="982980"/>
              <a:ext cx="2590800" cy="1356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Krishna" refreshedDate="46194.839854513892" createdVersion="8" refreshedVersion="8" minRefreshableVersion="3" recordCount="2" xr:uid="{11CC6871-3569-4AF7-8C37-D9361B7D4A26}">
  <cacheSource type="worksheet">
    <worksheetSource ref="A1:B3" sheet="TotalSalesByCategory"/>
  </cacheSource>
  <cacheFields count="2">
    <cacheField name="Category" numFmtId="0">
      <sharedItems count="2">
        <s v="Electronics"/>
        <s v="Furniture"/>
      </sharedItems>
    </cacheField>
    <cacheField name="TotalSales" numFmtId="0">
      <sharedItems containsSemiMixedTypes="0" containsString="0" containsNumber="1" containsInteger="1" minValue="58000" maxValue="280300"/>
    </cacheField>
  </cacheFields>
  <extLst>
    <ext xmlns:x14="http://schemas.microsoft.com/office/spreadsheetml/2009/9/main" uri="{725AE2AE-9491-48be-B2B4-4EB974FC3084}">
      <x14:pivotCacheDefinition pivotCacheId="5729659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Krishna" refreshedDate="46194.850885648149" createdVersion="8" refreshedVersion="8" minRefreshableVersion="3" recordCount="3" xr:uid="{B12440F5-B6D4-4FB5-BB0C-20F1140F8487}">
  <cacheSource type="worksheet">
    <worksheetSource ref="A1:B4" sheet="MonthlySales"/>
  </cacheSource>
  <cacheFields count="2">
    <cacheField name="MonthName" numFmtId="0">
      <sharedItems count="3">
        <s v="February"/>
        <s v="January"/>
        <s v="March"/>
      </sharedItems>
    </cacheField>
    <cacheField name="MonthlySales" numFmtId="0">
      <sharedItems containsSemiMixedTypes="0" containsString="0" containsNumber="1" containsInteger="1" minValue="72000" maxValue="152200"/>
    </cacheField>
  </cacheFields>
  <extLst>
    <ext xmlns:x14="http://schemas.microsoft.com/office/spreadsheetml/2009/9/main" uri="{725AE2AE-9491-48be-B2B4-4EB974FC3084}">
      <x14:pivotCacheDefinition pivotCacheId="1244389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280300"/>
  </r>
  <r>
    <x v="1"/>
    <n v="58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52200"/>
  </r>
  <r>
    <x v="1"/>
    <n v="114100"/>
  </r>
  <r>
    <x v="2"/>
    <n v="7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A4252B-86A9-4463-A84C-CD87C651B0AE}"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18" firstHeaderRow="1" firstDataRow="1" firstDataCol="1"/>
  <pivotFields count="2">
    <pivotField axis="axisRow" showAll="0">
      <items count="4">
        <item x="1"/>
        <item x="0"/>
        <item x="2"/>
        <item t="default"/>
      </items>
    </pivotField>
    <pivotField dataField="1" showAll="0"/>
  </pivotFields>
  <rowFields count="1">
    <field x="0"/>
  </rowFields>
  <rowItems count="4">
    <i>
      <x/>
    </i>
    <i>
      <x v="1"/>
    </i>
    <i>
      <x v="2"/>
    </i>
    <i t="grand">
      <x/>
    </i>
  </rowItems>
  <colItems count="1">
    <i/>
  </colItems>
  <dataFields count="1">
    <dataField name="Sum of MonthlySa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5FA54A-FA61-4710-A556-CD91A8F813A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TotalSales"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DE58BA-7C0E-42AF-AAA4-C0394C01248A}" sourceName="Category">
  <pivotTables>
    <pivotTable tabId="6" name="PivotTable1"/>
  </pivotTables>
  <data>
    <tabular pivotCacheId="5729659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4145EB22-6AAF-439E-BD1A-5E053B634565}" sourceName="MonthName">
  <pivotTables>
    <pivotTable tabId="6" name="PivotTable2"/>
  </pivotTables>
  <data>
    <tabular pivotCacheId="124438937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230FDED-7057-4A9B-8A51-2F63588F9DFF}" cache="Slicer_Category" caption="Category" rowHeight="247650"/>
  <slicer name="MonthName" xr10:uid="{30A6533E-45DC-485D-9CA3-B1CE3D83EB3D}" cache="Slicer_MonthName" caption="MonthNam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DEB68-1936-4B92-8E83-5E5D5252F561}">
  <dimension ref="A1:A4"/>
  <sheetViews>
    <sheetView workbookViewId="0">
      <selection activeCell="A4" sqref="A4"/>
    </sheetView>
  </sheetViews>
  <sheetFormatPr defaultRowHeight="14.4" x14ac:dyDescent="0.3"/>
  <sheetData>
    <row r="1" spans="1:1" x14ac:dyDescent="0.3">
      <c r="A1" t="s">
        <v>1</v>
      </c>
    </row>
    <row r="2" spans="1:1" x14ac:dyDescent="0.3">
      <c r="A2">
        <v>338300</v>
      </c>
    </row>
    <row r="4" spans="1:1" x14ac:dyDescent="0.3">
      <c r="A4">
        <f>A2/20</f>
        <v>16915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1A9D-EB5A-4859-A5F0-418BD449BD80}">
  <dimension ref="A1:B3"/>
  <sheetViews>
    <sheetView workbookViewId="0">
      <selection sqref="A1:B3"/>
    </sheetView>
  </sheetViews>
  <sheetFormatPr defaultRowHeight="14.4" x14ac:dyDescent="0.3"/>
  <sheetData>
    <row r="1" spans="1:2" x14ac:dyDescent="0.3">
      <c r="A1" s="2" t="s">
        <v>0</v>
      </c>
      <c r="B1" s="2" t="s">
        <v>1</v>
      </c>
    </row>
    <row r="2" spans="1:2" x14ac:dyDescent="0.3">
      <c r="A2" s="2" t="s">
        <v>2</v>
      </c>
      <c r="B2" s="2">
        <v>280300</v>
      </c>
    </row>
    <row r="3" spans="1:2" x14ac:dyDescent="0.3">
      <c r="A3" s="2" t="s">
        <v>3</v>
      </c>
      <c r="B3" s="2">
        <v>58000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05E5C-C66C-4E5C-859D-33C1C0264BE5}">
  <dimension ref="A1:B4"/>
  <sheetViews>
    <sheetView workbookViewId="0">
      <selection activeCell="B9" sqref="B9"/>
    </sheetView>
  </sheetViews>
  <sheetFormatPr defaultRowHeight="14.4" x14ac:dyDescent="0.3"/>
  <sheetData>
    <row r="1" spans="1:2" x14ac:dyDescent="0.3">
      <c r="A1" s="1" t="s">
        <v>12</v>
      </c>
      <c r="B1" s="1" t="s">
        <v>13</v>
      </c>
    </row>
    <row r="2" spans="1:2" x14ac:dyDescent="0.3">
      <c r="A2" s="1" t="s">
        <v>14</v>
      </c>
      <c r="B2" s="1">
        <v>152200</v>
      </c>
    </row>
    <row r="3" spans="1:2" x14ac:dyDescent="0.3">
      <c r="A3" s="1" t="s">
        <v>15</v>
      </c>
      <c r="B3" s="1">
        <v>114100</v>
      </c>
    </row>
    <row r="4" spans="1:2" x14ac:dyDescent="0.3">
      <c r="A4" s="1" t="s">
        <v>16</v>
      </c>
      <c r="B4" s="1">
        <v>72000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08BF-6A81-4E04-96DB-E3C7C6BE699C}">
  <dimension ref="A1:C7"/>
  <sheetViews>
    <sheetView workbookViewId="0">
      <selection activeCell="C9" sqref="C9"/>
    </sheetView>
  </sheetViews>
  <sheetFormatPr defaultRowHeight="14.4" x14ac:dyDescent="0.3"/>
  <sheetData>
    <row r="1" spans="1:3" x14ac:dyDescent="0.3">
      <c r="A1" s="2" t="s">
        <v>6</v>
      </c>
      <c r="B1" s="2" t="s">
        <v>4</v>
      </c>
      <c r="C1" s="2" t="s">
        <v>7</v>
      </c>
    </row>
    <row r="2" spans="1:3" x14ac:dyDescent="0.3">
      <c r="A2" s="2">
        <v>1</v>
      </c>
      <c r="B2" s="2" t="s">
        <v>5</v>
      </c>
      <c r="C2" s="2">
        <v>72000</v>
      </c>
    </row>
    <row r="3" spans="1:3" x14ac:dyDescent="0.3">
      <c r="A3" s="2">
        <v>7</v>
      </c>
      <c r="B3" s="2" t="s">
        <v>8</v>
      </c>
      <c r="C3" s="2">
        <v>65000</v>
      </c>
    </row>
    <row r="4" spans="1:3" x14ac:dyDescent="0.3">
      <c r="A4" s="2">
        <v>2</v>
      </c>
      <c r="B4" s="2" t="s">
        <v>9</v>
      </c>
      <c r="C4" s="2">
        <v>64600</v>
      </c>
    </row>
    <row r="5" spans="1:3" x14ac:dyDescent="0.3">
      <c r="A5" s="2">
        <v>3</v>
      </c>
      <c r="B5" s="2" t="s">
        <v>10</v>
      </c>
      <c r="C5" s="2">
        <v>63200</v>
      </c>
    </row>
    <row r="6" spans="1:3" x14ac:dyDescent="0.3">
      <c r="A6" s="2">
        <v>4</v>
      </c>
      <c r="B6" s="2" t="s">
        <v>11</v>
      </c>
      <c r="C6" s="2">
        <v>24000</v>
      </c>
    </row>
    <row r="7" spans="1:3" x14ac:dyDescent="0.3">
      <c r="C7">
        <f>MAX(C2:C6)</f>
        <v>72000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616A4-9F7A-41F0-82CC-7098A8C9F11B}">
  <dimension ref="A3:Q18"/>
  <sheetViews>
    <sheetView tabSelected="1" workbookViewId="0">
      <selection activeCell="F25" sqref="F25"/>
    </sheetView>
  </sheetViews>
  <sheetFormatPr defaultRowHeight="14.4" x14ac:dyDescent="0.3"/>
  <cols>
    <col min="1" max="1" width="12.44140625" bestFit="1" customWidth="1"/>
    <col min="2" max="2" width="18.33203125" bestFit="1" customWidth="1"/>
  </cols>
  <sheetData>
    <row r="3" spans="1:17" x14ac:dyDescent="0.3">
      <c r="A3" s="3" t="s">
        <v>17</v>
      </c>
      <c r="B3" t="s">
        <v>19</v>
      </c>
      <c r="E3" s="7" t="s">
        <v>21</v>
      </c>
      <c r="F3" s="6"/>
      <c r="G3" s="6"/>
      <c r="H3" s="8" t="s">
        <v>23</v>
      </c>
      <c r="I3" s="6"/>
      <c r="J3" s="6"/>
      <c r="K3" s="6"/>
      <c r="L3" s="6"/>
      <c r="M3" s="9" t="s">
        <v>20</v>
      </c>
      <c r="N3" s="6"/>
      <c r="O3" s="6"/>
      <c r="P3" s="6"/>
      <c r="Q3" s="6"/>
    </row>
    <row r="4" spans="1:17" x14ac:dyDescent="0.3">
      <c r="A4" s="4" t="s">
        <v>2</v>
      </c>
      <c r="B4" s="5">
        <v>280300</v>
      </c>
      <c r="E4" s="6"/>
      <c r="F4" s="6"/>
      <c r="G4" s="6"/>
      <c r="H4" s="6"/>
      <c r="I4" s="6"/>
      <c r="J4" s="6"/>
      <c r="K4" s="6"/>
      <c r="L4" s="6"/>
      <c r="M4" s="6"/>
      <c r="N4" s="6"/>
      <c r="O4" s="6"/>
      <c r="P4" s="6"/>
      <c r="Q4" s="6"/>
    </row>
    <row r="5" spans="1:17" x14ac:dyDescent="0.3">
      <c r="A5" s="4" t="s">
        <v>3</v>
      </c>
      <c r="B5" s="5">
        <v>58000</v>
      </c>
      <c r="E5" s="6"/>
      <c r="F5" s="6"/>
      <c r="G5" s="6"/>
      <c r="H5" s="6"/>
      <c r="I5" s="6"/>
      <c r="J5" s="6"/>
      <c r="K5" s="6"/>
      <c r="L5" s="6"/>
      <c r="M5" s="6"/>
      <c r="N5" s="6"/>
      <c r="O5" s="6"/>
      <c r="P5" s="6"/>
      <c r="Q5" s="6"/>
    </row>
    <row r="6" spans="1:17" x14ac:dyDescent="0.3">
      <c r="A6" s="4" t="s">
        <v>18</v>
      </c>
      <c r="B6" s="5">
        <v>338300</v>
      </c>
      <c r="E6" s="6"/>
      <c r="F6" s="6"/>
      <c r="G6" s="6"/>
      <c r="H6" s="6"/>
      <c r="I6" s="6"/>
      <c r="J6" s="6"/>
      <c r="K6" s="6"/>
      <c r="L6" s="6"/>
      <c r="M6" s="6"/>
      <c r="N6" s="6"/>
      <c r="O6" s="6"/>
      <c r="P6" s="6"/>
      <c r="Q6" s="6"/>
    </row>
    <row r="14" spans="1:17" x14ac:dyDescent="0.3">
      <c r="A14" s="3" t="s">
        <v>17</v>
      </c>
      <c r="B14" t="s">
        <v>22</v>
      </c>
    </row>
    <row r="15" spans="1:17" x14ac:dyDescent="0.3">
      <c r="A15" s="4" t="s">
        <v>15</v>
      </c>
      <c r="B15" s="5">
        <v>114100</v>
      </c>
    </row>
    <row r="16" spans="1:17" x14ac:dyDescent="0.3">
      <c r="A16" s="4" t="s">
        <v>14</v>
      </c>
      <c r="B16" s="5">
        <v>152200</v>
      </c>
    </row>
    <row r="17" spans="1:2" x14ac:dyDescent="0.3">
      <c r="A17" s="4" t="s">
        <v>16</v>
      </c>
      <c r="B17" s="5">
        <v>72000</v>
      </c>
    </row>
    <row r="18" spans="1:2" x14ac:dyDescent="0.3">
      <c r="A18" s="4" t="s">
        <v>18</v>
      </c>
      <c r="B18" s="5">
        <v>338300</v>
      </c>
    </row>
  </sheetData>
  <mergeCells count="3">
    <mergeCell ref="E3:G6"/>
    <mergeCell ref="H3:L6"/>
    <mergeCell ref="M3:Q6"/>
  </mergeCells>
  <pageMargins left="0.7" right="0.7" top="0.75" bottom="0.75" header="0.3" footer="0.3"/>
  <drawing r:id="rId3"/>
  <extLst>
    <ext xmlns:x14="http://schemas.microsoft.com/office/spreadsheetml/2009/9/main" uri="{A8765BA9-456A-4dab-B4F3-ACF838C121DE}">
      <x14:slicerList>
        <x14:slicer r:id="rId4"/>
      </x14:slicerList>
    </ext>
  </extLst>
</worksheet>
</file>